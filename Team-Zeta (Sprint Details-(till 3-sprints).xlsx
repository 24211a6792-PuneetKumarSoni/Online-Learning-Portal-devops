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VRIT\Downloads\"/>
    </mc:Choice>
  </mc:AlternateContent>
  <bookViews>
    <workbookView xWindow="0" yWindow="0" windowWidth="28800" windowHeight="12330" activeTab="3"/>
  </bookViews>
  <sheets>
    <sheet name="Sheet1" sheetId="1" r:id="rId1"/>
    <sheet name="Sheet2" sheetId="2" r:id="rId2"/>
    <sheet name="Sheet3" sheetId="3" r:id="rId3"/>
    <sheet name="Sheet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N18" i="1"/>
  <c r="N20" i="1"/>
  <c r="N19" i="1"/>
  <c r="L22" i="1"/>
  <c r="K22" i="1"/>
  <c r="J22" i="1"/>
  <c r="I22" i="1"/>
  <c r="H22" i="1"/>
  <c r="G22" i="1"/>
  <c r="F22" i="1"/>
</calcChain>
</file>

<file path=xl/sharedStrings.xml><?xml version="1.0" encoding="utf-8"?>
<sst xmlns="http://schemas.openxmlformats.org/spreadsheetml/2006/main" count="343" uniqueCount="183">
  <si>
    <t>S.No</t>
  </si>
  <si>
    <t>Member Name</t>
  </si>
  <si>
    <t xml:space="preserve">Role  </t>
  </si>
  <si>
    <t>Sprint Focus</t>
  </si>
  <si>
    <t>Points/ Sprint</t>
  </si>
  <si>
    <t xml:space="preserve">Availability </t>
  </si>
  <si>
    <t xml:space="preserve">Status </t>
  </si>
  <si>
    <t xml:space="preserve">Product Owner </t>
  </si>
  <si>
    <t xml:space="preserve">Backlog , Planning </t>
  </si>
  <si>
    <t xml:space="preserve">Active </t>
  </si>
  <si>
    <t xml:space="preserve">Scrum Master </t>
  </si>
  <si>
    <t xml:space="preserve">Frontend Dev </t>
  </si>
  <si>
    <t xml:space="preserve">DevOps Engineer </t>
  </si>
  <si>
    <t>CI/CD, Deployment &amp; Monitoring</t>
  </si>
  <si>
    <t xml:space="preserve">Sprint Allocation 
and Management </t>
  </si>
  <si>
    <t xml:space="preserve">Architechture and
 Design </t>
  </si>
  <si>
    <t xml:space="preserve">API &amp; 
Database Development </t>
  </si>
  <si>
    <t>UI/UX &amp;
 Frontend Development</t>
  </si>
  <si>
    <t>QA/Test Engineer</t>
  </si>
  <si>
    <t>Testing &amp; 
Quality Assurance</t>
  </si>
  <si>
    <t>Sprint #</t>
  </si>
  <si>
    <t>Sprint Goal</t>
  </si>
  <si>
    <t>Start Date</t>
  </si>
  <si>
    <t>End Date</t>
  </si>
  <si>
    <t>Duration</t>
  </si>
  <si>
    <t>Committed Pts</t>
  </si>
  <si>
    <t>Completed Pts</t>
  </si>
  <si>
    <t>% Done</t>
  </si>
  <si>
    <t>Velocity</t>
  </si>
  <si>
    <t>Defects Found</t>
  </si>
  <si>
    <t>Defects Fixed</t>
  </si>
  <si>
    <t>Carry Over</t>
  </si>
  <si>
    <t>Status</t>
  </si>
  <si>
    <t>Stakeholder Review</t>
  </si>
  <si>
    <t>Notes</t>
  </si>
  <si>
    <t>Sprint 1</t>
  </si>
  <si>
    <t>Requirement Analysis &amp; Planning</t>
  </si>
  <si>
    <t>Completed</t>
  </si>
  <si>
    <t>SRS, Product Backlog, Sprint Plan completed ✓</t>
  </si>
  <si>
    <t>Sprint 2</t>
  </si>
  <si>
    <t>In Progress</t>
  </si>
  <si>
    <t>Sprint 3</t>
  </si>
  <si>
    <t>Planned</t>
  </si>
  <si>
    <t>Authentication and Registration Module</t>
  </si>
  <si>
    <t>Sprint 4</t>
  </si>
  <si>
    <t>TOTALS</t>
  </si>
  <si>
    <t>Date</t>
  </si>
  <si>
    <t>Team Member</t>
  </si>
  <si>
    <t>Activity Performed</t>
  </si>
  <si>
    <t>Pts</t>
  </si>
  <si>
    <t>Help Needed</t>
  </si>
  <si>
    <t>No</t>
  </si>
  <si>
    <t>Entire Team</t>
  </si>
  <si>
    <t>Finalized Product Backlog and acceptance criteria</t>
  </si>
  <si>
    <t>Conducted project kickoff meeting and gathered initial stakeholder requirements</t>
  </si>
  <si>
    <t>Organized sprint planning meeting and defined sprint goals</t>
  </si>
  <si>
    <t>Identified core features and documented business requirements</t>
  </si>
  <si>
    <t>Created sprint board and assigned responsibilities</t>
  </si>
  <si>
    <t>Prepared user stories for Artists, Customers, and Administrators</t>
  </si>
  <si>
    <t>Participated in requirement discussions and identified technical constraints</t>
  </si>
  <si>
    <t>Prioritized backlog items based on business value and stakeholder needs</t>
  </si>
  <si>
    <t>Reviewed sprint progress and updated sprint backlog</t>
  </si>
  <si>
    <t>Requirement review meeting and project scope discussion</t>
  </si>
  <si>
    <t>Prepared Sprint Review presentation and Sprint 2 planning notes</t>
  </si>
  <si>
    <t>Sprint Review with stakeholders and approval of Sprint 2 activities</t>
  </si>
  <si>
    <t>Metric</t>
  </si>
  <si>
    <t>Value</t>
  </si>
  <si>
    <t>Sprint Duration</t>
  </si>
  <si>
    <t>Committed Story Points</t>
  </si>
  <si>
    <t>Completed Story Points</t>
  </si>
  <si>
    <t>Remaining Story Points</t>
  </si>
  <si>
    <t>Completion Percentage</t>
  </si>
  <si>
    <t>Deliverable</t>
  </si>
  <si>
    <t>Software Requirement Specification (SRS)</t>
  </si>
  <si>
    <t>Product Backlog</t>
  </si>
  <si>
    <t>User Stories</t>
  </si>
  <si>
    <t>Sprint Plan</t>
  </si>
  <si>
    <t>Stakeholder Approval</t>
  </si>
  <si>
    <t>Sprint 1 Deliverables</t>
  </si>
  <si>
    <t>Sprint 1 Summary</t>
  </si>
  <si>
    <t>Sprint 1 Daily Log – Requirement Analysis &amp; Planning</t>
  </si>
  <si>
    <t>Team Capacity and Sprint Allocation</t>
  </si>
  <si>
    <t>Online Learning Platform</t>
  </si>
  <si>
    <t>Team Zeta</t>
  </si>
  <si>
    <t xml:space="preserve">T.Bhanu </t>
  </si>
  <si>
    <t>Vamshi</t>
  </si>
  <si>
    <t xml:space="preserve">Revan Krsihna </t>
  </si>
  <si>
    <t>Backend Dev</t>
  </si>
  <si>
    <t>Sathwik, Kumar</t>
  </si>
  <si>
    <t>Nissar</t>
  </si>
  <si>
    <t>Requirement Analysis and Environment Setup</t>
  </si>
  <si>
    <t>Authetication &amp; User Management</t>
  </si>
  <si>
    <t>Academic Management</t>
  </si>
  <si>
    <t>Devops &amp; Deployment</t>
  </si>
  <si>
    <t>Mangement System</t>
  </si>
  <si>
    <t>Production Deployment and Monitoring Dashboard</t>
  </si>
  <si>
    <t>Bhanu (PO)</t>
  </si>
  <si>
    <t>Vamshi (Architect)</t>
  </si>
  <si>
    <t>Puneet (SM)</t>
  </si>
  <si>
    <t>Cloud &amp; Release Enginner</t>
  </si>
  <si>
    <t>Sprint Information</t>
  </si>
  <si>
    <t>Product Backlog Progress</t>
  </si>
  <si>
    <t>Item</t>
  </si>
  <si>
    <t>Details</t>
  </si>
  <si>
    <t>Count</t>
  </si>
  <si>
    <t>Sprint</t>
  </si>
  <si>
    <t>Total Product Backlogs</t>
  </si>
  <si>
    <t>Backlogs Completed</t>
  </si>
  <si>
    <t>Complete System Design, Documentation, and Frontend Prototype</t>
  </si>
  <si>
    <t>Backlogs In Progress</t>
  </si>
  <si>
    <t>Sprint Status</t>
  </si>
  <si>
    <t>Backlogs Pending</t>
  </si>
  <si>
    <t>Completed Product Backlogs</t>
  </si>
  <si>
    <t>Sprint Deliverables</t>
  </si>
  <si>
    <t>Backlog ID</t>
  </si>
  <si>
    <t>Feature</t>
  </si>
  <si>
    <t>PB-03</t>
  </si>
  <si>
    <t>System Architecture Design</t>
  </si>
  <si>
    <t>Story Points Committed</t>
  </si>
  <si>
    <t>PB-04</t>
  </si>
  <si>
    <t>Story Points Completed</t>
  </si>
  <si>
    <t>System Architecture Diagram</t>
  </si>
  <si>
    <t xml:space="preserve"> Completed</t>
  </si>
  <si>
    <t>PB-05</t>
  </si>
  <si>
    <t>Story Points Remaining</t>
  </si>
  <si>
    <t>DFD Level 0</t>
  </si>
  <si>
    <t>Sprint Completion</t>
  </si>
  <si>
    <t>DFD Level 1</t>
  </si>
  <si>
    <t>DFD Level 2</t>
  </si>
  <si>
    <t>PB-12</t>
  </si>
  <si>
    <t>GitHub Repository &amp; Version Control Setup</t>
  </si>
  <si>
    <t>Team Contributions</t>
  </si>
  <si>
    <t>Database Design (ER Diagram)</t>
  </si>
  <si>
    <t>Contribution</t>
  </si>
  <si>
    <t>Requirement validation, backlog refinement, stakeholder communication</t>
  </si>
  <si>
    <t>Frontend Prototype</t>
  </si>
  <si>
    <t>Sprint planning, sprint review, progress tracking</t>
  </si>
  <si>
    <t>Configured GitHub repository, project structure, deployment strategy, DevOps workflow documentation</t>
  </si>
  <si>
    <t>Reviewed UI, validated documentation, prepared initial test cases</t>
  </si>
  <si>
    <t>Nissar
(QA Engineer)</t>
  </si>
  <si>
    <t>Bhanu
(Product Owner)</t>
  </si>
  <si>
    <t>Punnet
(Scrum Master)</t>
  </si>
  <si>
    <t>Vamshi
(System Architect)</t>
  </si>
  <si>
    <t>Bhanu
 (Frontend Developer)</t>
  </si>
  <si>
    <t>Vamshi
(DevOps Engineer)</t>
  </si>
  <si>
    <t>14 Days</t>
  </si>
  <si>
    <t>SPRINT PLAN — 4 SPRINTS</t>
  </si>
  <si>
    <t>16 June 2026 – 30 June 2026</t>
  </si>
  <si>
    <t xml:space="preserve">Sprint 1 Summary </t>
  </si>
  <si>
    <t>System Architecture, UML &amp; DFD preparation</t>
  </si>
  <si>
    <t xml:space="preserve">Developing complete frontend UI </t>
  </si>
  <si>
    <t>Documentation, UML&amp; DFD Diagrams</t>
  </si>
  <si>
    <t>Login UI &amp; ER Diagram</t>
  </si>
  <si>
    <t>UML Diagram</t>
  </si>
  <si>
    <t>17 Jun 2026 – 30 Jun 2026</t>
  </si>
  <si>
    <t>1 July 2026 – 14 July 2026</t>
  </si>
  <si>
    <t>PB-07</t>
  </si>
  <si>
    <t>PB-08</t>
  </si>
  <si>
    <t>As a student, I want to register and login securely</t>
  </si>
  <si>
    <t>As a faculty member, I want to login securely</t>
  </si>
  <si>
    <t>Student Login Module, Faculty Login Module, Parent Login Module, User Registration Module</t>
  </si>
  <si>
    <t>Bhanu
(Frontend Developer)</t>
  </si>
  <si>
    <t>Prepared initial test cases, Password Recovery Functionality</t>
  </si>
  <si>
    <t>Student Login Module</t>
  </si>
  <si>
    <t>Faculty Login Module</t>
  </si>
  <si>
    <t>Parent Login Module</t>
  </si>
  <si>
    <t>User Registration Module</t>
  </si>
  <si>
    <t>Password Recovery Functionality</t>
  </si>
  <si>
    <t>Testing</t>
  </si>
  <si>
    <t>Working Authentication and User Management System</t>
  </si>
  <si>
    <t>Authentication &amp; User Management</t>
  </si>
  <si>
    <t>completed</t>
  </si>
  <si>
    <t>front end modules</t>
  </si>
  <si>
    <t xml:space="preserve">Deployment </t>
  </si>
  <si>
    <t>Backend</t>
  </si>
  <si>
    <t>29 July 2026 – 12 Aug 2026</t>
  </si>
  <si>
    <t>Faculty,Parent login ,Attendance Module, Assignment Module,Results Module</t>
  </si>
  <si>
    <t>Sprint 2 Summary</t>
  </si>
  <si>
    <t>Puneet Kumar Soni</t>
  </si>
  <si>
    <t>As a Parent, I want to register and login securely</t>
  </si>
  <si>
    <t>PB-09</t>
  </si>
  <si>
    <t>PB-10-17</t>
  </si>
  <si>
    <t>As a Student/Faculty/Parent, I want to access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</si>
</sst>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54">
    <xf numFmtId="0" fontId="0" fillId="0" borderId="0" xfId="0"/>
    <xf numFmtId="0" fontId="5" fillId="0" borderId="0" xfId="0" applyFont="1"/>
    <xf numFmtId="0" fontId="7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3" borderId="7" xfId="2" applyFont="1" applyBorder="1" applyAlignment="1">
      <alignment horizontal="center" vertical="center" wrapText="1"/>
    </xf>
    <xf numFmtId="0" fontId="11" fillId="3" borderId="8" xfId="2" applyFont="1" applyBorder="1" applyAlignment="1">
      <alignment horizontal="center" vertical="center" wrapText="1"/>
    </xf>
    <xf numFmtId="15" fontId="11" fillId="3" borderId="8" xfId="2" applyNumberFormat="1" applyFont="1" applyBorder="1" applyAlignment="1">
      <alignment horizontal="center" vertical="center" wrapText="1"/>
    </xf>
    <xf numFmtId="9" fontId="11" fillId="3" borderId="8" xfId="2" applyNumberFormat="1" applyFont="1" applyBorder="1" applyAlignment="1">
      <alignment horizontal="center" vertical="center" wrapText="1"/>
    </xf>
    <xf numFmtId="0" fontId="11" fillId="3" borderId="9" xfId="2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15" fontId="9" fillId="0" borderId="5" xfId="0" applyNumberFormat="1" applyFont="1" applyBorder="1" applyAlignment="1">
      <alignment horizontal="center" vertical="center" wrapText="1"/>
    </xf>
    <xf numFmtId="15" fontId="9" fillId="0" borderId="7" xfId="0" applyNumberFormat="1" applyFont="1" applyBorder="1" applyAlignment="1">
      <alignment horizontal="center" vertical="center" wrapText="1"/>
    </xf>
    <xf numFmtId="0" fontId="3" fillId="2" borderId="0" xfId="1" applyFont="1"/>
    <xf numFmtId="0" fontId="12" fillId="2" borderId="0" xfId="1" applyFont="1"/>
    <xf numFmtId="0" fontId="6" fillId="0" borderId="0" xfId="0" applyFont="1"/>
    <xf numFmtId="0" fontId="4" fillId="2" borderId="0" xfId="1" applyFont="1"/>
    <xf numFmtId="0" fontId="8" fillId="0" borderId="0" xfId="0" applyFont="1"/>
    <xf numFmtId="0" fontId="5" fillId="4" borderId="9" xfId="3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</cellXfs>
  <cellStyles count="4">
    <cellStyle name="60% - Accent3" xfId="3" builtinId="40"/>
    <cellStyle name="Accent1" xfId="1" builtinId="29"/>
    <cellStyle name="Accent3" xfId="2" builtinId="37"/>
    <cellStyle name="Normal" xfId="0" builtinId="0"/>
  </cellStyles>
  <dxfs count="150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color theme="1"/>
      </font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3" formatCode="0%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3" displayName="Table3" ref="A6:G13" totalsRowShown="0" headerRowDxfId="139" dataDxfId="137" headerRowBorderDxfId="138" tableBorderDxfId="136" totalsRowBorderDxfId="135">
  <autoFilter ref="A6:G13"/>
  <tableColumns count="7">
    <tableColumn id="1" name="S.No" dataDxfId="134"/>
    <tableColumn id="2" name="Member Name" dataDxfId="133"/>
    <tableColumn id="3" name="Role  " dataDxfId="132"/>
    <tableColumn id="4" name="Sprint Focus" dataDxfId="131"/>
    <tableColumn id="5" name="Points/ Sprint" dataDxfId="130"/>
    <tableColumn id="6" name="Availability " dataDxfId="129"/>
    <tableColumn id="7" name="Status " dataDxfId="1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7:O22" totalsRowShown="0" headerRowDxfId="127" dataDxfId="125" headerRowBorderDxfId="126" tableBorderDxfId="124" totalsRowBorderDxfId="123">
  <autoFilter ref="A17:O22"/>
  <tableColumns count="15">
    <tableColumn id="1" name="Sprint #" dataDxfId="122"/>
    <tableColumn id="2" name="Sprint Goal" dataDxfId="121"/>
    <tableColumn id="3" name="Start Date" dataDxfId="120"/>
    <tableColumn id="4" name="End Date" dataDxfId="119"/>
    <tableColumn id="5" name="Duration" dataDxfId="118"/>
    <tableColumn id="6" name="Committed Pts" dataDxfId="117"/>
    <tableColumn id="7" name="Completed Pts" dataDxfId="116"/>
    <tableColumn id="8" name="% Done" dataDxfId="115"/>
    <tableColumn id="9" name="Velocity" dataDxfId="114"/>
    <tableColumn id="10" name="Defects Found" dataDxfId="113"/>
    <tableColumn id="11" name="Defects Fixed" dataDxfId="112"/>
    <tableColumn id="12" name="Carry Over" dataDxfId="111"/>
    <tableColumn id="13" name="Status" dataDxfId="110"/>
    <tableColumn id="14" name="Stakeholder Review" dataDxfId="109">
      <calculatedColumnFormula>(Table4[[#This Row],[Start Date]] -1)</calculatedColumnFormula>
    </tableColumn>
    <tableColumn id="15" name="Notes" dataDxfId="10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26:F38" totalsRowShown="0" headerRowDxfId="107" dataDxfId="105" headerRowBorderDxfId="106" tableBorderDxfId="104" totalsRowBorderDxfId="103">
  <autoFilter ref="A26:F38"/>
  <tableColumns count="6">
    <tableColumn id="1" name="Date" dataDxfId="102"/>
    <tableColumn id="2" name="Team Member" dataDxfId="101"/>
    <tableColumn id="3" name="Activity Performed" dataDxfId="100"/>
    <tableColumn id="4" name="Pts" dataDxfId="99"/>
    <tableColumn id="5" name="Help Needed" dataDxfId="98"/>
    <tableColumn id="6" name="Status" dataDxfId="9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B44:C54" totalsRowShown="0" headerRowDxfId="96" dataDxfId="94" headerRowBorderDxfId="95" tableBorderDxfId="93" totalsRowBorderDxfId="92">
  <autoFilter ref="B44:C54"/>
  <tableColumns count="2">
    <tableColumn id="1" name="Metric" dataDxfId="91"/>
    <tableColumn id="2" name="Value" dataDxfId="90"/>
  </tableColumns>
  <tableStyleInfo showFirstColumn="1" showLastColumn="0" showRowStripes="0" showColumnStripes="1"/>
</table>
</file>

<file path=xl/tables/table5.xml><?xml version="1.0" encoding="utf-8"?>
<table xmlns="http://schemas.openxmlformats.org/spreadsheetml/2006/main" id="9" name="Table9" displayName="Table9" ref="E44:F49" totalsRowShown="0" headerRowDxfId="89" dataDxfId="88">
  <autoFilter ref="E44:F49"/>
  <tableColumns count="2">
    <tableColumn id="1" name="Deliverable" dataDxfId="87"/>
    <tableColumn id="2" name="Status" dataDxfId="86"/>
  </tableColumns>
  <tableStyleInfo showFirstColumn="1" showLastColumn="0" showRowStripes="0" showColumnStripes="1"/>
</table>
</file>

<file path=xl/tables/table6.xml><?xml version="1.0" encoding="utf-8"?>
<table xmlns="http://schemas.openxmlformats.org/spreadsheetml/2006/main" id="1" name="Table5" displayName="Table5" ref="B4:C8" totalsRowShown="0" headerRowDxfId="84" dataDxfId="83">
  <autoFilter ref="B4:C8"/>
  <tableColumns count="2">
    <tableColumn id="1" name="Item" dataDxfId="82"/>
    <tableColumn id="2" name="Details" dataDxfId="81"/>
  </tableColumns>
  <tableStyleInfo name="TableStyleMedium2" showFirstColumn="0" showLastColumn="0" showRowStripes="0" showColumnStripes="1"/>
</table>
</file>

<file path=xl/tables/table7.xml><?xml version="1.0" encoding="utf-8"?>
<table xmlns="http://schemas.openxmlformats.org/spreadsheetml/2006/main" id="2" name="Table6" displayName="Table6" ref="I13:J20" totalsRowShown="0" headerRowDxfId="80" dataDxfId="78" headerRowBorderDxfId="79" tableBorderDxfId="77" totalsRowBorderDxfId="76">
  <autoFilter ref="I13:J20"/>
  <tableColumns count="2">
    <tableColumn id="1" name="Deliverable" dataDxfId="75"/>
    <tableColumn id="2" name="Status" dataDxfId="74"/>
  </tableColumns>
  <tableStyleInfo name="TableStyleMedium2" showFirstColumn="0" showLastColumn="0" showRowStripes="0" showColumnStripes="1"/>
</table>
</file>

<file path=xl/tables/table8.xml><?xml version="1.0" encoding="utf-8"?>
<table xmlns="http://schemas.openxmlformats.org/spreadsheetml/2006/main" id="5" name="Table76" displayName="Table76" ref="E4:F8" totalsRowShown="0" headerRowDxfId="73" dataDxfId="72">
  <autoFilter ref="E4:F8"/>
  <tableColumns count="2">
    <tableColumn id="1" name="Metric" dataDxfId="71"/>
    <tableColumn id="2" name="Count" dataDxfId="70"/>
  </tableColumns>
  <tableStyleInfo name="TableStyleMedium2" showFirstColumn="0" showLastColumn="0" showRowStripes="0" showColumnStripes="1"/>
</table>
</file>

<file path=xl/tables/table9.xml><?xml version="1.0" encoding="utf-8"?>
<table xmlns="http://schemas.openxmlformats.org/spreadsheetml/2006/main" id="6" name="Table87" displayName="Table87" ref="I3:J7" totalsRowShown="0" headerRowDxfId="69" dataDxfId="68">
  <autoFilter ref="I3:J7"/>
  <tableColumns count="2">
    <tableColumn id="1" name="Backlog ID" dataDxfId="67"/>
    <tableColumn id="2" name="Feature" dataDxfId="66"/>
  </tableColumns>
  <tableStyleInfo name="TableStyleMedium2" showFirstColumn="0" showLastColumn="0" showRowStripes="0" showColumnStripes="1"/>
</table>
</file>

<file path=xl/tables/table10.xml><?xml version="1.0" encoding="utf-8"?>
<table xmlns="http://schemas.openxmlformats.org/spreadsheetml/2006/main" id="10" name="Table911" displayName="Table911" ref="B13:C19" totalsRowShown="0" headerRowDxfId="65" dataDxfId="64">
  <autoFilter ref="B13:C19"/>
  <tableColumns count="2">
    <tableColumn id="1" name="Team Member" dataDxfId="63"/>
    <tableColumn id="2" name="Contribution" dataDxfId="62"/>
  </tableColumns>
  <tableStyleInfo name="TableStyleMedium2" showFirstColumn="0" showLastColumn="0" showRowStripes="0" showColumnStripes="1"/>
</table>
</file>

<file path=xl/tables/table11.xml><?xml version="1.0" encoding="utf-8"?>
<table xmlns="http://schemas.openxmlformats.org/spreadsheetml/2006/main" id="12" name="Table11" displayName="Table11" ref="E13:F17" totalsRowShown="0" headerRowDxfId="61" dataDxfId="60">
  <autoFilter ref="E13:F17"/>
  <tableColumns count="2">
    <tableColumn id="1" name="Metric" dataDxfId="59"/>
    <tableColumn id="2" name="Value" dataDxfId="58"/>
  </tableColumns>
  <tableStyleInfo name="TableStyleMedium2" showFirstColumn="0" showLastColumn="0" showRowStripes="0" showColumnStripes="1"/>
</table>
</file>

<file path=xl/tables/table12.xml><?xml version="1.0" encoding="utf-8"?>
<table xmlns="http://schemas.openxmlformats.org/spreadsheetml/2006/main" id="11" name="Table512" displayName="Table512" ref="B3:C7" totalsRowShown="0" headerRowDxfId="55" dataDxfId="54">
  <autoFilter ref="B3:C7"/>
  <tableColumns count="2">
    <tableColumn id="1" name="Item" dataDxfId="53"/>
    <tableColumn id="2" name="Details" dataDxfId="52"/>
  </tableColumns>
  <tableStyleInfo name="TableStyleMedium2" showFirstColumn="0" showLastColumn="0" showRowStripes="0" showColumnStripes="1"/>
</table>
</file>

<file path=xl/tables/table13.xml><?xml version="1.0" encoding="utf-8"?>
<table xmlns="http://schemas.openxmlformats.org/spreadsheetml/2006/main" id="13" name="Table614" displayName="Table614" ref="I12:J19" totalsRowShown="0" headerRowDxfId="51" dataDxfId="49" headerRowBorderDxfId="50" tableBorderDxfId="48" totalsRowBorderDxfId="47">
  <autoFilter ref="I12:J19"/>
  <tableColumns count="2">
    <tableColumn id="1" name="Deliverable" dataDxfId="46"/>
    <tableColumn id="2" name="Status" dataDxfId="45"/>
  </tableColumns>
  <tableStyleInfo name="TableStyleMedium2" showFirstColumn="0" showLastColumn="0" showRowStripes="0" showColumnStripes="1"/>
</table>
</file>

<file path=xl/tables/table14.xml><?xml version="1.0" encoding="utf-8"?>
<table xmlns="http://schemas.openxmlformats.org/spreadsheetml/2006/main" id="14" name="Table7615" displayName="Table7615" ref="E3:F7" totalsRowShown="0" headerRowDxfId="44" dataDxfId="43">
  <autoFilter ref="E3:F7"/>
  <tableColumns count="2">
    <tableColumn id="1" name="Metric" dataDxfId="42"/>
    <tableColumn id="2" name="Count" dataDxfId="41"/>
  </tableColumns>
  <tableStyleInfo name="TableStyleMedium2" showFirstColumn="0" showLastColumn="0" showRowStripes="0" showColumnStripes="1"/>
</table>
</file>

<file path=xl/tables/table15.xml><?xml version="1.0" encoding="utf-8"?>
<table xmlns="http://schemas.openxmlformats.org/spreadsheetml/2006/main" id="15" name="Table8716" displayName="Table8716" ref="I3:J5" totalsRowShown="0" headerRowDxfId="40" dataDxfId="39">
  <autoFilter ref="I3:J5"/>
  <tableColumns count="2">
    <tableColumn id="1" name="Backlog ID" dataDxfId="38"/>
    <tableColumn id="2" name="Feature" dataDxfId="37"/>
  </tableColumns>
  <tableStyleInfo name="TableStyleMedium2" showFirstColumn="0" showLastColumn="0" showRowStripes="0" showColumnStripes="1"/>
</table>
</file>

<file path=xl/tables/table16.xml><?xml version="1.0" encoding="utf-8"?>
<table xmlns="http://schemas.openxmlformats.org/spreadsheetml/2006/main" id="16" name="Table91117" displayName="Table91117" ref="B12:C15" totalsRowShown="0" headerRowDxfId="36" dataDxfId="35">
  <autoFilter ref="B12:C15"/>
  <tableColumns count="2">
    <tableColumn id="1" name="Team Member" dataDxfId="34"/>
    <tableColumn id="2" name="Contribution" dataDxfId="33"/>
  </tableColumns>
  <tableStyleInfo name="TableStyleMedium2" showFirstColumn="0" showLastColumn="0" showRowStripes="0" showColumnStripes="1"/>
</table>
</file>

<file path=xl/tables/table17.xml><?xml version="1.0" encoding="utf-8"?>
<table xmlns="http://schemas.openxmlformats.org/spreadsheetml/2006/main" id="17" name="Table1118" displayName="Table1118" ref="E12:F16" totalsRowShown="0" headerRowDxfId="32" dataDxfId="31">
  <autoFilter ref="E12:F16"/>
  <tableColumns count="2">
    <tableColumn id="1" name="Metric" dataDxfId="30"/>
    <tableColumn id="2" name="Value" dataDxfId="29"/>
  </tableColumns>
  <tableStyleInfo name="TableStyleMedium2" showFirstColumn="0" showLastColumn="0" showRowStripes="0" showColumnStripes="1"/>
</table>
</file>

<file path=xl/tables/table18.xml><?xml version="1.0" encoding="utf-8"?>
<table xmlns="http://schemas.openxmlformats.org/spreadsheetml/2006/main" id="23" name="Table51224" displayName="Table51224" ref="B3:C7" totalsRowShown="0" headerRowDxfId="26" dataDxfId="25">
  <autoFilter ref="B3:C7"/>
  <tableColumns count="2">
    <tableColumn id="1" name="Item" dataDxfId="24"/>
    <tableColumn id="2" name="Details" dataDxfId="23"/>
  </tableColumns>
  <tableStyleInfo name="TableStyleMedium2" showFirstColumn="0" showLastColumn="0" showRowStripes="0" showColumnStripes="1"/>
</table>
</file>

<file path=xl/tables/table19.xml><?xml version="1.0" encoding="utf-8"?>
<table xmlns="http://schemas.openxmlformats.org/spreadsheetml/2006/main" id="24" name="Table61425" displayName="Table61425" ref="I12:J20" totalsRowShown="0" headerRowDxfId="22" dataDxfId="20" headerRowBorderDxfId="21" tableBorderDxfId="19" totalsRowBorderDxfId="18">
  <autoFilter ref="I12:J20"/>
  <tableColumns count="2">
    <tableColumn id="1" name="Deliverable" dataDxfId="17"/>
    <tableColumn id="2" name="Status" dataDxfId="16"/>
  </tableColumns>
  <tableStyleInfo name="TableStyleMedium2" showFirstColumn="0" showLastColumn="0" showRowStripes="0" showColumnStripes="1"/>
</table>
</file>

<file path=xl/tables/table20.xml><?xml version="1.0" encoding="utf-8"?>
<table xmlns="http://schemas.openxmlformats.org/spreadsheetml/2006/main" id="25" name="Table761526" displayName="Table761526" ref="E3:F7" totalsRowShown="0" headerRowDxfId="15" dataDxfId="14">
  <autoFilter ref="E3:F7"/>
  <tableColumns count="2">
    <tableColumn id="1" name="Metric" dataDxfId="13"/>
    <tableColumn id="2" name="Count" dataDxfId="12"/>
  </tableColumns>
  <tableStyleInfo name="TableStyleMedium2" showFirstColumn="0" showLastColumn="0" showRowStripes="0" showColumnStripes="1"/>
</table>
</file>

<file path=xl/tables/table21.xml><?xml version="1.0" encoding="utf-8"?>
<table xmlns="http://schemas.openxmlformats.org/spreadsheetml/2006/main" id="26" name="Table871627" displayName="Table871627" ref="I3:J5" totalsRowShown="0" headerRowDxfId="11" dataDxfId="10">
  <autoFilter ref="I3:J5"/>
  <tableColumns count="2">
    <tableColumn id="1" name="Backlog ID" dataDxfId="9"/>
    <tableColumn id="2" name="Feature" dataDxfId="8"/>
  </tableColumns>
  <tableStyleInfo name="TableStyleMedium2" showFirstColumn="0" showLastColumn="0" showRowStripes="0" showColumnStripes="1"/>
</table>
</file>

<file path=xl/tables/table22.xml><?xml version="1.0" encoding="utf-8"?>
<table xmlns="http://schemas.openxmlformats.org/spreadsheetml/2006/main" id="27" name="Table9111728" displayName="Table9111728" ref="B12:C14" totalsRowShown="0" headerRowDxfId="7" dataDxfId="6">
  <autoFilter ref="B12:C14"/>
  <tableColumns count="2">
    <tableColumn id="1" name="Team Member" dataDxfId="5"/>
    <tableColumn id="2" name="Contribution" dataDxfId="4"/>
  </tableColumns>
  <tableStyleInfo name="TableStyleMedium2" showFirstColumn="0" showLastColumn="0" showRowStripes="0" showColumnStripes="1"/>
</table>
</file>

<file path=xl/tables/table23.xml><?xml version="1.0" encoding="utf-8"?>
<table xmlns="http://schemas.openxmlformats.org/spreadsheetml/2006/main" id="28" name="Table111829" displayName="Table111829" ref="E12:F16" totalsRowShown="0" headerRowDxfId="3" dataDxfId="2">
  <autoFilter ref="E12:F16"/>
  <tableColumns count="2">
    <tableColumn id="1" name="Metric" dataDxfId="1"/>
    <tableColumn id="2" name="Value" dataDxfId="0"/>
  </tableColumns>
  <tableStyleInfo name="TableStyleMedium2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13" zoomScale="86" zoomScaleNormal="66" workbookViewId="0">
      <selection activeCell="E16" sqref="E16"/>
    </sheetView>
  </sheetViews>
  <sheetFormatPr defaultColWidth="8.875" defaultRowHeight="15"/>
  <cols>
    <col min="1" max="1" width="15.5" style="1" customWidth="1"/>
    <col min="2" max="2" width="20.75" style="1" customWidth="1"/>
    <col min="3" max="3" width="23.75" style="1" customWidth="1"/>
    <col min="4" max="4" width="16.75" style="1" customWidth="1"/>
    <col min="5" max="5" width="17.25" style="1" customWidth="1"/>
    <col min="6" max="6" width="15.5" style="1" customWidth="1"/>
    <col min="7" max="7" width="15.25" style="1" customWidth="1"/>
    <col min="8" max="8" width="16.25" style="1" customWidth="1"/>
    <col min="9" max="9" width="15.875" style="1" customWidth="1"/>
    <col min="10" max="10" width="14.75" style="1" customWidth="1"/>
    <col min="11" max="11" width="14.25" style="1" customWidth="1"/>
    <col min="12" max="12" width="11.5" style="1" customWidth="1"/>
    <col min="13" max="13" width="16.75" style="1" customWidth="1"/>
    <col min="14" max="15" width="19.25" style="1" customWidth="1"/>
    <col min="16" max="16384" width="8.875" style="1"/>
  </cols>
  <sheetData>
    <row r="1" spans="1:7" s="42" customFormat="1" ht="27">
      <c r="A1" s="39" t="s">
        <v>83</v>
      </c>
    </row>
    <row r="3" spans="1:7" s="42" customFormat="1" ht="25.5">
      <c r="A3" s="40" t="s">
        <v>82</v>
      </c>
    </row>
    <row r="5" spans="1:7" ht="20.25">
      <c r="A5" s="41" t="s">
        <v>81</v>
      </c>
    </row>
    <row r="6" spans="1:7" ht="15.7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5" t="s">
        <v>6</v>
      </c>
    </row>
    <row r="7" spans="1:7" ht="15.75">
      <c r="A7" s="6">
        <v>1</v>
      </c>
      <c r="B7" s="7" t="s">
        <v>84</v>
      </c>
      <c r="C7" s="7" t="s">
        <v>7</v>
      </c>
      <c r="D7" s="7" t="s">
        <v>8</v>
      </c>
      <c r="E7" s="7">
        <v>8</v>
      </c>
      <c r="F7" s="8">
        <v>1</v>
      </c>
      <c r="G7" s="9" t="s">
        <v>9</v>
      </c>
    </row>
    <row r="8" spans="1:7" ht="31.5">
      <c r="A8" s="6">
        <v>2</v>
      </c>
      <c r="B8" s="7" t="s">
        <v>178</v>
      </c>
      <c r="C8" s="7" t="s">
        <v>10</v>
      </c>
      <c r="D8" s="10" t="s">
        <v>14</v>
      </c>
      <c r="E8" s="7">
        <v>10</v>
      </c>
      <c r="F8" s="8">
        <v>1</v>
      </c>
      <c r="G8" s="9" t="s">
        <v>9</v>
      </c>
    </row>
    <row r="9" spans="1:7" ht="31.5">
      <c r="A9" s="6">
        <v>3</v>
      </c>
      <c r="B9" s="7" t="s">
        <v>85</v>
      </c>
      <c r="C9" s="7" t="s">
        <v>12</v>
      </c>
      <c r="D9" s="10" t="s">
        <v>15</v>
      </c>
      <c r="E9" s="7">
        <v>12</v>
      </c>
      <c r="F9" s="8">
        <v>1</v>
      </c>
      <c r="G9" s="9" t="s">
        <v>9</v>
      </c>
    </row>
    <row r="10" spans="1:7" ht="47.25">
      <c r="A10" s="6">
        <v>4</v>
      </c>
      <c r="B10" s="7" t="s">
        <v>84</v>
      </c>
      <c r="C10" s="7" t="s">
        <v>11</v>
      </c>
      <c r="D10" s="10" t="s">
        <v>17</v>
      </c>
      <c r="E10" s="7">
        <v>13</v>
      </c>
      <c r="F10" s="8">
        <v>1</v>
      </c>
      <c r="G10" s="9" t="s">
        <v>9</v>
      </c>
    </row>
    <row r="11" spans="1:7" ht="47.25">
      <c r="A11" s="6">
        <v>5</v>
      </c>
      <c r="B11" s="7" t="s">
        <v>86</v>
      </c>
      <c r="C11" s="7" t="s">
        <v>87</v>
      </c>
      <c r="D11" s="10" t="s">
        <v>16</v>
      </c>
      <c r="E11" s="7">
        <v>14</v>
      </c>
      <c r="F11" s="8">
        <v>0.9</v>
      </c>
      <c r="G11" s="9" t="s">
        <v>9</v>
      </c>
    </row>
    <row r="12" spans="1:7" ht="31.5">
      <c r="A12" s="6">
        <v>6</v>
      </c>
      <c r="B12" s="7" t="s">
        <v>88</v>
      </c>
      <c r="C12" s="7" t="s">
        <v>99</v>
      </c>
      <c r="D12" s="10" t="s">
        <v>13</v>
      </c>
      <c r="E12" s="7">
        <v>9</v>
      </c>
      <c r="F12" s="8">
        <v>0.9</v>
      </c>
      <c r="G12" s="9" t="s">
        <v>9</v>
      </c>
    </row>
    <row r="13" spans="1:7" ht="31.5">
      <c r="A13" s="11">
        <v>7</v>
      </c>
      <c r="B13" s="12" t="s">
        <v>89</v>
      </c>
      <c r="C13" s="12" t="s">
        <v>18</v>
      </c>
      <c r="D13" s="13" t="s">
        <v>19</v>
      </c>
      <c r="E13" s="12">
        <v>11</v>
      </c>
      <c r="F13" s="14">
        <v>1</v>
      </c>
      <c r="G13" s="15" t="s">
        <v>9</v>
      </c>
    </row>
    <row r="16" spans="1:7" ht="20.25">
      <c r="A16" s="41" t="s">
        <v>146</v>
      </c>
    </row>
    <row r="17" spans="1:15" s="2" customFormat="1" ht="37.5">
      <c r="A17" s="17" t="s">
        <v>20</v>
      </c>
      <c r="B17" s="18" t="s">
        <v>21</v>
      </c>
      <c r="C17" s="18" t="s">
        <v>22</v>
      </c>
      <c r="D17" s="18" t="s">
        <v>23</v>
      </c>
      <c r="E17" s="18" t="s">
        <v>24</v>
      </c>
      <c r="F17" s="18" t="s">
        <v>25</v>
      </c>
      <c r="G17" s="18" t="s">
        <v>26</v>
      </c>
      <c r="H17" s="18" t="s">
        <v>27</v>
      </c>
      <c r="I17" s="18" t="s">
        <v>28</v>
      </c>
      <c r="J17" s="18" t="s">
        <v>29</v>
      </c>
      <c r="K17" s="18" t="s">
        <v>30</v>
      </c>
      <c r="L17" s="18" t="s">
        <v>31</v>
      </c>
      <c r="M17" s="18" t="s">
        <v>32</v>
      </c>
      <c r="N17" s="18" t="s">
        <v>33</v>
      </c>
      <c r="O17" s="19" t="s">
        <v>34</v>
      </c>
    </row>
    <row r="18" spans="1:15" ht="47.25">
      <c r="A18" s="20" t="s">
        <v>35</v>
      </c>
      <c r="B18" s="10" t="s">
        <v>90</v>
      </c>
      <c r="C18" s="21">
        <v>46189</v>
      </c>
      <c r="D18" s="21">
        <v>46203</v>
      </c>
      <c r="E18" s="10" t="s">
        <v>145</v>
      </c>
      <c r="F18" s="10">
        <v>70</v>
      </c>
      <c r="G18" s="10">
        <v>68</v>
      </c>
      <c r="H18" s="22">
        <v>0.97</v>
      </c>
      <c r="I18" s="10">
        <v>68</v>
      </c>
      <c r="J18" s="10">
        <v>2</v>
      </c>
      <c r="K18" s="10">
        <v>2</v>
      </c>
      <c r="L18" s="10">
        <v>2</v>
      </c>
      <c r="M18" s="10" t="s">
        <v>37</v>
      </c>
      <c r="N18" s="21">
        <f>(Table4[[#This Row],[Start Date]] +1)</f>
        <v>46190</v>
      </c>
      <c r="O18" s="23" t="s">
        <v>38</v>
      </c>
    </row>
    <row r="19" spans="1:15" ht="31.5">
      <c r="A19" s="20" t="s">
        <v>39</v>
      </c>
      <c r="B19" s="10" t="s">
        <v>91</v>
      </c>
      <c r="C19" s="21">
        <v>46204</v>
      </c>
      <c r="D19" s="21">
        <v>46217</v>
      </c>
      <c r="E19" s="10" t="s">
        <v>145</v>
      </c>
      <c r="F19" s="10">
        <v>75</v>
      </c>
      <c r="G19" s="10">
        <v>45</v>
      </c>
      <c r="H19" s="22">
        <v>0</v>
      </c>
      <c r="I19" s="10">
        <v>0</v>
      </c>
      <c r="J19" s="10">
        <v>0</v>
      </c>
      <c r="K19" s="10">
        <v>0</v>
      </c>
      <c r="L19" s="10">
        <v>30</v>
      </c>
      <c r="M19" s="10" t="s">
        <v>40</v>
      </c>
      <c r="N19" s="21">
        <f>(Table4[[#This Row],[Start Date]] +1)</f>
        <v>46205</v>
      </c>
      <c r="O19" s="23" t="s">
        <v>43</v>
      </c>
    </row>
    <row r="20" spans="1:15" ht="15.75">
      <c r="A20" s="20" t="s">
        <v>41</v>
      </c>
      <c r="B20" s="10" t="s">
        <v>92</v>
      </c>
      <c r="C20" s="21">
        <v>46232</v>
      </c>
      <c r="D20" s="21">
        <v>46246</v>
      </c>
      <c r="E20" s="10" t="s">
        <v>145</v>
      </c>
      <c r="F20" s="10">
        <v>80</v>
      </c>
      <c r="G20" s="10">
        <v>0</v>
      </c>
      <c r="H20" s="22">
        <v>0</v>
      </c>
      <c r="I20" s="10">
        <v>0</v>
      </c>
      <c r="J20" s="10">
        <v>0</v>
      </c>
      <c r="K20" s="10">
        <v>0</v>
      </c>
      <c r="L20" s="10">
        <v>80</v>
      </c>
      <c r="M20" s="10" t="s">
        <v>42</v>
      </c>
      <c r="N20" s="21">
        <f>(Table4[[#This Row],[Start Date]] +1)</f>
        <v>46233</v>
      </c>
      <c r="O20" s="23" t="s">
        <v>94</v>
      </c>
    </row>
    <row r="21" spans="1:15" ht="47.25">
      <c r="A21" s="20" t="s">
        <v>44</v>
      </c>
      <c r="B21" s="10" t="s">
        <v>93</v>
      </c>
      <c r="C21" s="21">
        <v>46247</v>
      </c>
      <c r="D21" s="21">
        <v>46261</v>
      </c>
      <c r="E21" s="10" t="s">
        <v>145</v>
      </c>
      <c r="F21" s="10">
        <v>85</v>
      </c>
      <c r="G21" s="10">
        <v>0</v>
      </c>
      <c r="H21" s="22">
        <v>0</v>
      </c>
      <c r="I21" s="10">
        <v>0</v>
      </c>
      <c r="J21" s="10">
        <v>0</v>
      </c>
      <c r="K21" s="10">
        <v>0</v>
      </c>
      <c r="L21" s="10">
        <v>85</v>
      </c>
      <c r="M21" s="10" t="s">
        <v>42</v>
      </c>
      <c r="N21" s="21">
        <f>(Table4[[#This Row],[Start Date]] +1)</f>
        <v>46248</v>
      </c>
      <c r="O21" s="23" t="s">
        <v>95</v>
      </c>
    </row>
    <row r="22" spans="1:15" ht="15.75">
      <c r="A22" s="26" t="s">
        <v>45</v>
      </c>
      <c r="B22" s="27"/>
      <c r="C22" s="28"/>
      <c r="D22" s="28"/>
      <c r="E22" s="27"/>
      <c r="F22" s="27">
        <f>SUM(F18:F21)</f>
        <v>310</v>
      </c>
      <c r="G22" s="27">
        <f>SUM(G18:G21)</f>
        <v>113</v>
      </c>
      <c r="H22" s="29">
        <f>AVERAGE(H18:H21)</f>
        <v>0.24249999999999999</v>
      </c>
      <c r="I22" s="27">
        <f>AVERAGE(I18:I21)</f>
        <v>17</v>
      </c>
      <c r="J22" s="27">
        <f>SUM(J18:J21)</f>
        <v>2</v>
      </c>
      <c r="K22" s="27">
        <f>SUM(K18:K21)</f>
        <v>2</v>
      </c>
      <c r="L22" s="27">
        <f>SUM(L18:L21)</f>
        <v>197</v>
      </c>
      <c r="M22" s="27"/>
      <c r="N22" s="28"/>
      <c r="O22" s="30"/>
    </row>
    <row r="25" spans="1:15" ht="20.25">
      <c r="A25" s="41" t="s">
        <v>80</v>
      </c>
    </row>
    <row r="26" spans="1:15" ht="15.75">
      <c r="A26" s="31" t="s">
        <v>46</v>
      </c>
      <c r="B26" s="32" t="s">
        <v>47</v>
      </c>
      <c r="C26" s="32" t="s">
        <v>48</v>
      </c>
      <c r="D26" s="32" t="s">
        <v>49</v>
      </c>
      <c r="E26" s="32" t="s">
        <v>50</v>
      </c>
      <c r="F26" s="33" t="s">
        <v>32</v>
      </c>
      <c r="I26" s="16"/>
    </row>
    <row r="27" spans="1:15" ht="47.25">
      <c r="A27" s="37">
        <v>46190</v>
      </c>
      <c r="B27" s="10" t="s">
        <v>96</v>
      </c>
      <c r="C27" s="10" t="s">
        <v>54</v>
      </c>
      <c r="D27" s="10">
        <v>10</v>
      </c>
      <c r="E27" s="10" t="s">
        <v>51</v>
      </c>
      <c r="F27" s="23" t="s">
        <v>37</v>
      </c>
      <c r="H27"/>
    </row>
    <row r="28" spans="1:15" ht="47.25">
      <c r="A28" s="37">
        <v>46190</v>
      </c>
      <c r="B28" s="10" t="s">
        <v>98</v>
      </c>
      <c r="C28" s="10" t="s">
        <v>55</v>
      </c>
      <c r="D28" s="10">
        <v>6</v>
      </c>
      <c r="E28" s="10" t="s">
        <v>51</v>
      </c>
      <c r="F28" s="23" t="s">
        <v>37</v>
      </c>
    </row>
    <row r="29" spans="1:15" ht="47.25">
      <c r="A29" s="37">
        <v>46191</v>
      </c>
      <c r="B29" s="10" t="s">
        <v>96</v>
      </c>
      <c r="C29" s="10" t="s">
        <v>56</v>
      </c>
      <c r="D29" s="10">
        <v>10</v>
      </c>
      <c r="E29" s="10" t="s">
        <v>51</v>
      </c>
      <c r="F29" s="23" t="s">
        <v>37</v>
      </c>
    </row>
    <row r="30" spans="1:15" ht="31.5">
      <c r="A30" s="37">
        <v>46191</v>
      </c>
      <c r="B30" s="10" t="s">
        <v>98</v>
      </c>
      <c r="C30" s="10" t="s">
        <v>57</v>
      </c>
      <c r="D30" s="10">
        <v>5</v>
      </c>
      <c r="E30" s="10" t="s">
        <v>51</v>
      </c>
      <c r="F30" s="23" t="s">
        <v>37</v>
      </c>
    </row>
    <row r="31" spans="1:15" ht="47.25">
      <c r="A31" s="37">
        <v>46192</v>
      </c>
      <c r="B31" s="10" t="s">
        <v>96</v>
      </c>
      <c r="C31" s="10" t="s">
        <v>58</v>
      </c>
      <c r="D31" s="10">
        <v>10</v>
      </c>
      <c r="E31" s="10" t="s">
        <v>51</v>
      </c>
      <c r="F31" s="23" t="s">
        <v>37</v>
      </c>
    </row>
    <row r="32" spans="1:15" ht="47.25">
      <c r="A32" s="37">
        <v>46192</v>
      </c>
      <c r="B32" s="10" t="s">
        <v>97</v>
      </c>
      <c r="C32" s="10" t="s">
        <v>59</v>
      </c>
      <c r="D32" s="10">
        <v>6</v>
      </c>
      <c r="E32" s="10" t="s">
        <v>51</v>
      </c>
      <c r="F32" s="23" t="s">
        <v>37</v>
      </c>
    </row>
    <row r="33" spans="1:6" ht="47.25">
      <c r="A33" s="37">
        <v>46193</v>
      </c>
      <c r="B33" s="10" t="s">
        <v>96</v>
      </c>
      <c r="C33" s="10" t="s">
        <v>60</v>
      </c>
      <c r="D33" s="10">
        <v>8</v>
      </c>
      <c r="E33" s="10" t="s">
        <v>51</v>
      </c>
      <c r="F33" s="23" t="s">
        <v>37</v>
      </c>
    </row>
    <row r="34" spans="1:6" ht="31.5">
      <c r="A34" s="37">
        <v>46193</v>
      </c>
      <c r="B34" s="10" t="s">
        <v>98</v>
      </c>
      <c r="C34" s="10" t="s">
        <v>61</v>
      </c>
      <c r="D34" s="10">
        <v>5</v>
      </c>
      <c r="E34" s="10" t="s">
        <v>51</v>
      </c>
      <c r="F34" s="23" t="s">
        <v>37</v>
      </c>
    </row>
    <row r="35" spans="1:6" ht="31.5">
      <c r="A35" s="37">
        <v>46194</v>
      </c>
      <c r="B35" s="10" t="s">
        <v>52</v>
      </c>
      <c r="C35" s="10" t="s">
        <v>62</v>
      </c>
      <c r="D35" s="10">
        <v>8</v>
      </c>
      <c r="E35" s="10" t="s">
        <v>51</v>
      </c>
      <c r="F35" s="23" t="s">
        <v>37</v>
      </c>
    </row>
    <row r="36" spans="1:6" ht="31.5">
      <c r="A36" s="37">
        <v>46195</v>
      </c>
      <c r="B36" s="10" t="s">
        <v>96</v>
      </c>
      <c r="C36" s="10" t="s">
        <v>53</v>
      </c>
      <c r="D36" s="10">
        <v>10</v>
      </c>
      <c r="E36" s="10" t="s">
        <v>51</v>
      </c>
      <c r="F36" s="23" t="s">
        <v>37</v>
      </c>
    </row>
    <row r="37" spans="1:6" ht="47.25">
      <c r="A37" s="37">
        <v>46195</v>
      </c>
      <c r="B37" s="10" t="s">
        <v>98</v>
      </c>
      <c r="C37" s="10" t="s">
        <v>63</v>
      </c>
      <c r="D37" s="10">
        <v>4</v>
      </c>
      <c r="E37" s="10" t="s">
        <v>51</v>
      </c>
      <c r="F37" s="23" t="s">
        <v>37</v>
      </c>
    </row>
    <row r="38" spans="1:6" ht="47.25">
      <c r="A38" s="38">
        <v>46196</v>
      </c>
      <c r="B38" s="13" t="s">
        <v>52</v>
      </c>
      <c r="C38" s="13" t="s">
        <v>64</v>
      </c>
      <c r="D38" s="13">
        <v>6</v>
      </c>
      <c r="E38" s="13" t="s">
        <v>51</v>
      </c>
      <c r="F38" s="25" t="s">
        <v>37</v>
      </c>
    </row>
    <row r="39" spans="1:6" ht="15.75">
      <c r="A39" s="16"/>
      <c r="B39" s="16"/>
      <c r="C39" s="16"/>
      <c r="D39" s="16"/>
      <c r="E39" s="16"/>
      <c r="F39" s="16"/>
    </row>
    <row r="43" spans="1:6" ht="20.25">
      <c r="B43" s="41" t="s">
        <v>79</v>
      </c>
      <c r="E43" s="43" t="s">
        <v>78</v>
      </c>
    </row>
    <row r="44" spans="1:6" ht="15.75">
      <c r="B44" s="31" t="s">
        <v>65</v>
      </c>
      <c r="C44" s="33" t="s">
        <v>66</v>
      </c>
      <c r="E44" s="34" t="s">
        <v>72</v>
      </c>
      <c r="F44" s="34" t="s">
        <v>32</v>
      </c>
    </row>
    <row r="45" spans="1:6" ht="47.25">
      <c r="B45" s="20" t="s">
        <v>21</v>
      </c>
      <c r="C45" s="23" t="s">
        <v>36</v>
      </c>
      <c r="E45" s="35" t="s">
        <v>73</v>
      </c>
      <c r="F45" s="35" t="s">
        <v>37</v>
      </c>
    </row>
    <row r="46" spans="1:6" ht="15.75">
      <c r="B46" s="20" t="s">
        <v>67</v>
      </c>
      <c r="C46" s="23" t="s">
        <v>154</v>
      </c>
      <c r="E46" s="35" t="s">
        <v>74</v>
      </c>
      <c r="F46" s="35" t="s">
        <v>37</v>
      </c>
    </row>
    <row r="47" spans="1:6" ht="15.75">
      <c r="B47" s="20" t="s">
        <v>68</v>
      </c>
      <c r="C47" s="23">
        <v>70</v>
      </c>
      <c r="E47" s="35" t="s">
        <v>75</v>
      </c>
      <c r="F47" s="35" t="s">
        <v>37</v>
      </c>
    </row>
    <row r="48" spans="1:6" ht="15.75">
      <c r="B48" s="20" t="s">
        <v>69</v>
      </c>
      <c r="C48" s="23">
        <v>68</v>
      </c>
      <c r="E48" s="35" t="s">
        <v>76</v>
      </c>
      <c r="F48" s="35" t="s">
        <v>37</v>
      </c>
    </row>
    <row r="49" spans="2:6" ht="31.5">
      <c r="B49" s="20" t="s">
        <v>70</v>
      </c>
      <c r="C49" s="23">
        <v>2</v>
      </c>
      <c r="E49" s="35" t="s">
        <v>77</v>
      </c>
      <c r="F49" s="35" t="s">
        <v>37</v>
      </c>
    </row>
    <row r="50" spans="2:6" ht="15.75">
      <c r="B50" s="20" t="s">
        <v>71</v>
      </c>
      <c r="C50" s="36">
        <v>0.97</v>
      </c>
    </row>
    <row r="51" spans="2:6" ht="15.75">
      <c r="B51" s="20" t="s">
        <v>29</v>
      </c>
      <c r="C51" s="23">
        <v>2</v>
      </c>
    </row>
    <row r="52" spans="2:6" ht="15.75">
      <c r="B52" s="20" t="s">
        <v>30</v>
      </c>
      <c r="C52" s="23">
        <v>2</v>
      </c>
    </row>
    <row r="53" spans="2:6" ht="15.75">
      <c r="B53" s="20" t="s">
        <v>31</v>
      </c>
      <c r="C53" s="23">
        <v>2</v>
      </c>
    </row>
    <row r="54" spans="2:6" ht="15.75">
      <c r="B54" s="24" t="s">
        <v>32</v>
      </c>
      <c r="C54" s="44" t="s">
        <v>37</v>
      </c>
    </row>
  </sheetData>
  <conditionalFormatting sqref="E26:E38">
    <cfRule type="cellIs" dxfId="149" priority="3" operator="equal">
      <formula>"No"</formula>
    </cfRule>
  </conditionalFormatting>
  <conditionalFormatting sqref="F26:F38">
    <cfRule type="containsText" dxfId="148" priority="2" operator="containsText" text="Completed">
      <formula>NOT(ISERROR(SEARCH("Completed",F26)))</formula>
    </cfRule>
  </conditionalFormatting>
  <conditionalFormatting sqref="F44:F49">
    <cfRule type="containsText" dxfId="147" priority="1" operator="containsText" text="Completed">
      <formula>NOT(ISERROR(SEARCH("Completed",F44)))</formula>
    </cfRule>
  </conditionalFormatting>
  <conditionalFormatting sqref="G6:G13">
    <cfRule type="containsText" dxfId="146" priority="10" operator="containsText" text="Active">
      <formula>NOT(ISERROR(SEARCH("Active",G6)))</formula>
    </cfRule>
    <cfRule type="cellIs" dxfId="145" priority="11" operator="equal">
      <formula>"Active"</formula>
    </cfRule>
    <cfRule type="cellIs" dxfId="144" priority="12" operator="equal">
      <formula>"Active"</formula>
    </cfRule>
  </conditionalFormatting>
  <conditionalFormatting sqref="G7:G13">
    <cfRule type="containsText" dxfId="143" priority="9" operator="containsText" text="Active ">
      <formula>NOT(ISERROR(SEARCH("Active ",G7)))</formula>
    </cfRule>
  </conditionalFormatting>
  <conditionalFormatting sqref="M17:M22">
    <cfRule type="containsText" dxfId="142" priority="6" operator="containsText" text="Planned">
      <formula>NOT(ISERROR(SEARCH("Planned",M17)))</formula>
    </cfRule>
    <cfRule type="containsText" dxfId="141" priority="7" operator="containsText" text="In Progress">
      <formula>NOT(ISERROR(SEARCH("In Progress",M17)))</formula>
    </cfRule>
    <cfRule type="containsText" dxfId="140" priority="8" operator="containsText" text="Completed">
      <formula>NOT(ISERROR(SEARCH("Completed",M17)))</formula>
    </cfRule>
  </conditionalFormatting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62" workbookViewId="0">
      <selection activeCell="C7" sqref="C7"/>
    </sheetView>
  </sheetViews>
  <sheetFormatPr defaultRowHeight="14.25"/>
  <cols>
    <col min="2" max="2" width="22.25" customWidth="1"/>
    <col min="3" max="3" width="20.75" customWidth="1"/>
    <col min="5" max="6" width="20.75" customWidth="1"/>
    <col min="8" max="10" width="20.75" customWidth="1"/>
  </cols>
  <sheetData>
    <row r="1" spans="1:11" ht="15.7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.75">
      <c r="A2" s="16"/>
      <c r="B2" s="45" t="s">
        <v>100</v>
      </c>
      <c r="C2" s="45"/>
      <c r="D2" s="45"/>
      <c r="E2" s="45" t="s">
        <v>101</v>
      </c>
      <c r="F2" s="45"/>
      <c r="G2" s="46"/>
      <c r="H2" s="16"/>
      <c r="I2" s="48" t="s">
        <v>112</v>
      </c>
      <c r="J2" s="48"/>
      <c r="K2" s="16"/>
    </row>
    <row r="3" spans="1:11" ht="15.75">
      <c r="A3" s="16"/>
      <c r="B3" s="46"/>
      <c r="C3" s="46"/>
      <c r="D3" s="46"/>
      <c r="E3" s="46"/>
      <c r="F3" s="16"/>
      <c r="G3" s="16"/>
      <c r="H3" s="16"/>
      <c r="I3" s="47" t="s">
        <v>114</v>
      </c>
      <c r="J3" s="47" t="s">
        <v>115</v>
      </c>
      <c r="K3" s="16"/>
    </row>
    <row r="4" spans="1:11" ht="31.5">
      <c r="A4" s="16"/>
      <c r="B4" s="34" t="s">
        <v>102</v>
      </c>
      <c r="C4" s="34" t="s">
        <v>103</v>
      </c>
      <c r="D4" s="34"/>
      <c r="E4" s="47" t="s">
        <v>65</v>
      </c>
      <c r="F4" s="47" t="s">
        <v>104</v>
      </c>
      <c r="G4" s="16"/>
      <c r="H4" s="16"/>
      <c r="I4" s="35" t="s">
        <v>116</v>
      </c>
      <c r="J4" s="35" t="s">
        <v>117</v>
      </c>
      <c r="K4" s="16"/>
    </row>
    <row r="5" spans="1:11" ht="47.25" customHeight="1">
      <c r="A5" s="16"/>
      <c r="B5" s="35" t="s">
        <v>105</v>
      </c>
      <c r="C5" s="35" t="s">
        <v>35</v>
      </c>
      <c r="D5" s="35"/>
      <c r="E5" s="35" t="s">
        <v>106</v>
      </c>
      <c r="F5" s="35">
        <v>15</v>
      </c>
      <c r="G5" s="16"/>
      <c r="H5" s="16"/>
      <c r="I5" s="35" t="s">
        <v>119</v>
      </c>
      <c r="J5" s="35" t="s">
        <v>151</v>
      </c>
      <c r="K5" s="16"/>
    </row>
    <row r="6" spans="1:11" ht="47.25" customHeight="1">
      <c r="A6" s="16"/>
      <c r="B6" s="35" t="s">
        <v>67</v>
      </c>
      <c r="C6" s="35" t="s">
        <v>147</v>
      </c>
      <c r="D6" s="35"/>
      <c r="E6" s="35" t="s">
        <v>107</v>
      </c>
      <c r="F6" s="35">
        <v>15</v>
      </c>
      <c r="G6" s="16"/>
      <c r="H6" s="16"/>
      <c r="I6" s="35" t="s">
        <v>123</v>
      </c>
      <c r="J6" s="35" t="s">
        <v>152</v>
      </c>
      <c r="K6" s="16"/>
    </row>
    <row r="7" spans="1:11" ht="47.25" customHeight="1" thickBot="1">
      <c r="A7" s="16"/>
      <c r="B7" s="35" t="s">
        <v>21</v>
      </c>
      <c r="C7" s="35" t="s">
        <v>108</v>
      </c>
      <c r="D7" s="35"/>
      <c r="E7" s="35" t="s">
        <v>109</v>
      </c>
      <c r="F7" s="35">
        <v>0</v>
      </c>
      <c r="G7" s="16"/>
      <c r="H7" s="16"/>
      <c r="I7" s="50" t="s">
        <v>129</v>
      </c>
      <c r="J7" s="50" t="s">
        <v>130</v>
      </c>
      <c r="K7" s="16"/>
    </row>
    <row r="8" spans="1:11" ht="47.25" customHeight="1">
      <c r="A8" s="16"/>
      <c r="B8" s="35" t="s">
        <v>110</v>
      </c>
      <c r="C8" s="35" t="s">
        <v>37</v>
      </c>
      <c r="D8" s="35"/>
      <c r="E8" s="35" t="s">
        <v>111</v>
      </c>
      <c r="F8" s="35">
        <v>0</v>
      </c>
      <c r="G8" s="16"/>
      <c r="H8" s="16"/>
      <c r="I8" s="46"/>
      <c r="J8" s="46"/>
      <c r="K8" s="16"/>
    </row>
    <row r="9" spans="1:11" ht="15.75">
      <c r="A9" s="16"/>
      <c r="B9" s="46"/>
      <c r="C9" s="46"/>
      <c r="D9" s="46"/>
      <c r="E9" s="46"/>
      <c r="F9" s="16"/>
      <c r="G9" s="16"/>
      <c r="H9" s="46"/>
      <c r="I9" s="46"/>
      <c r="J9" s="46"/>
      <c r="K9" s="46"/>
    </row>
    <row r="10" spans="1:11" ht="15.75">
      <c r="A10" s="16"/>
      <c r="B10" s="46"/>
      <c r="C10" s="46"/>
      <c r="D10" s="46"/>
      <c r="E10" s="46"/>
      <c r="F10" s="16"/>
      <c r="G10" s="16"/>
      <c r="H10" s="46"/>
      <c r="I10" s="46"/>
      <c r="J10" s="46"/>
      <c r="K10" s="46"/>
    </row>
    <row r="11" spans="1:11" ht="18.75">
      <c r="A11" s="16"/>
      <c r="B11" s="46"/>
      <c r="C11" s="46"/>
      <c r="D11" s="46"/>
      <c r="E11" s="46"/>
      <c r="F11" s="16"/>
      <c r="G11" s="16"/>
      <c r="H11" s="46"/>
      <c r="I11" s="45" t="s">
        <v>113</v>
      </c>
      <c r="J11" s="45"/>
      <c r="K11" s="46"/>
    </row>
    <row r="12" spans="1:11" ht="15.75">
      <c r="B12" s="46" t="s">
        <v>131</v>
      </c>
      <c r="C12" s="46"/>
      <c r="D12" s="46"/>
      <c r="E12" s="48" t="s">
        <v>177</v>
      </c>
      <c r="F12" s="48"/>
      <c r="G12" s="16"/>
      <c r="H12" s="16"/>
      <c r="I12" s="46"/>
      <c r="J12" s="46"/>
      <c r="K12" s="46"/>
    </row>
    <row r="13" spans="1:11" ht="15.75">
      <c r="B13" s="47" t="s">
        <v>47</v>
      </c>
      <c r="C13" s="47" t="s">
        <v>133</v>
      </c>
      <c r="D13" s="46"/>
      <c r="E13" s="47" t="s">
        <v>65</v>
      </c>
      <c r="F13" s="47" t="s">
        <v>66</v>
      </c>
      <c r="G13" s="16"/>
      <c r="H13" s="16"/>
      <c r="I13" s="34" t="s">
        <v>72</v>
      </c>
      <c r="J13" s="34" t="s">
        <v>32</v>
      </c>
      <c r="K13" s="46"/>
    </row>
    <row r="14" spans="1:11" ht="63">
      <c r="B14" s="51" t="s">
        <v>140</v>
      </c>
      <c r="C14" s="51" t="s">
        <v>134</v>
      </c>
      <c r="D14" s="46"/>
      <c r="E14" s="35" t="s">
        <v>118</v>
      </c>
      <c r="F14" s="35">
        <v>75</v>
      </c>
      <c r="G14" s="16"/>
      <c r="H14" s="16"/>
      <c r="I14" s="35" t="s">
        <v>121</v>
      </c>
      <c r="J14" s="35" t="s">
        <v>122</v>
      </c>
      <c r="K14" s="46"/>
    </row>
    <row r="15" spans="1:11" ht="31.5">
      <c r="B15" s="51" t="s">
        <v>141</v>
      </c>
      <c r="C15" s="51" t="s">
        <v>136</v>
      </c>
      <c r="D15" s="46"/>
      <c r="E15" s="35" t="s">
        <v>120</v>
      </c>
      <c r="F15" s="35">
        <v>73</v>
      </c>
      <c r="G15" s="16"/>
      <c r="H15" s="16"/>
      <c r="I15" s="35" t="s">
        <v>125</v>
      </c>
      <c r="J15" s="35" t="s">
        <v>122</v>
      </c>
      <c r="K15" s="46"/>
    </row>
    <row r="16" spans="1:11" ht="47.25">
      <c r="B16" s="51" t="s">
        <v>142</v>
      </c>
      <c r="C16" s="51" t="s">
        <v>149</v>
      </c>
      <c r="D16" s="46"/>
      <c r="E16" s="35" t="s">
        <v>124</v>
      </c>
      <c r="F16" s="35">
        <v>2</v>
      </c>
      <c r="G16" s="16"/>
      <c r="H16" s="16"/>
      <c r="I16" s="35" t="s">
        <v>127</v>
      </c>
      <c r="J16" s="35" t="s">
        <v>122</v>
      </c>
      <c r="K16" s="46"/>
    </row>
    <row r="17" spans="1:11" ht="31.5">
      <c r="B17" s="51" t="s">
        <v>143</v>
      </c>
      <c r="C17" s="51" t="s">
        <v>150</v>
      </c>
      <c r="D17" s="46"/>
      <c r="E17" s="35" t="s">
        <v>126</v>
      </c>
      <c r="F17" s="49">
        <v>0.97</v>
      </c>
      <c r="G17" s="16"/>
      <c r="H17" s="16"/>
      <c r="I17" s="35" t="s">
        <v>128</v>
      </c>
      <c r="J17" s="35" t="s">
        <v>122</v>
      </c>
      <c r="K17" s="46"/>
    </row>
    <row r="18" spans="1:11" ht="63" customHeight="1">
      <c r="B18" s="51" t="s">
        <v>144</v>
      </c>
      <c r="C18" s="51" t="s">
        <v>137</v>
      </c>
      <c r="D18" s="46"/>
      <c r="E18" s="46"/>
      <c r="F18" s="46"/>
      <c r="G18" s="46"/>
      <c r="H18" s="16"/>
      <c r="I18" s="35" t="s">
        <v>153</v>
      </c>
      <c r="J18" s="35" t="s">
        <v>122</v>
      </c>
      <c r="K18" s="46"/>
    </row>
    <row r="19" spans="1:11" ht="63" customHeight="1">
      <c r="A19" s="16"/>
      <c r="B19" s="35" t="s">
        <v>139</v>
      </c>
      <c r="C19" s="35" t="s">
        <v>138</v>
      </c>
      <c r="D19" s="46"/>
      <c r="E19" s="46"/>
      <c r="F19" s="46"/>
      <c r="G19" s="46"/>
      <c r="H19" s="16"/>
      <c r="I19" s="35" t="s">
        <v>132</v>
      </c>
      <c r="J19" s="35" t="s">
        <v>122</v>
      </c>
      <c r="K19" s="46"/>
    </row>
    <row r="20" spans="1:11" ht="63" customHeight="1">
      <c r="A20" s="16"/>
      <c r="B20" s="35"/>
      <c r="C20" s="35"/>
      <c r="D20" s="46"/>
      <c r="E20" s="46"/>
      <c r="F20" s="46"/>
      <c r="G20" s="46"/>
      <c r="H20" s="16"/>
      <c r="I20" s="35" t="s">
        <v>135</v>
      </c>
      <c r="J20" s="35" t="s">
        <v>122</v>
      </c>
      <c r="K20" s="46"/>
    </row>
    <row r="21" spans="1:11" ht="63" customHeight="1">
      <c r="A21" s="16"/>
      <c r="D21" s="16"/>
      <c r="E21" s="46"/>
      <c r="F21" s="16"/>
      <c r="G21" s="16"/>
      <c r="H21" s="16"/>
      <c r="I21" s="16"/>
      <c r="J21" s="16"/>
      <c r="K21" s="16"/>
    </row>
    <row r="22" spans="1:11" ht="63" customHeight="1">
      <c r="A22" s="16"/>
      <c r="D22" s="16"/>
      <c r="E22" s="46"/>
      <c r="F22" s="16"/>
      <c r="G22" s="16"/>
      <c r="H22" s="16"/>
      <c r="I22" s="16"/>
      <c r="J22" s="16"/>
      <c r="K22" s="16"/>
    </row>
    <row r="23" spans="1:11" ht="63" customHeight="1">
      <c r="A23" s="16"/>
      <c r="D23" s="16"/>
      <c r="E23" s="16"/>
      <c r="F23" s="16"/>
      <c r="G23" s="16"/>
      <c r="H23" s="16"/>
      <c r="I23" s="16"/>
      <c r="J23" s="16"/>
      <c r="K23" s="16"/>
    </row>
    <row r="24" spans="1:11" ht="15.75">
      <c r="A24" s="16"/>
      <c r="D24" s="16"/>
      <c r="E24" s="16"/>
      <c r="F24" s="16"/>
      <c r="G24" s="16"/>
      <c r="H24" s="16"/>
      <c r="I24" s="16"/>
      <c r="J24" s="16"/>
      <c r="K24" s="16"/>
    </row>
    <row r="25" spans="1:11" ht="15.75">
      <c r="A25" s="16"/>
      <c r="D25" s="16"/>
      <c r="E25" s="16"/>
      <c r="F25" s="16"/>
      <c r="G25" s="16"/>
      <c r="H25" s="16"/>
      <c r="I25" s="16"/>
      <c r="J25" s="16"/>
      <c r="K25" s="16"/>
    </row>
    <row r="26" spans="1:11" ht="15.75">
      <c r="A26" s="16"/>
      <c r="D26" s="16"/>
      <c r="E26" s="16"/>
      <c r="F26" s="16"/>
      <c r="G26" s="16"/>
      <c r="H26" s="16"/>
      <c r="K26" s="16"/>
    </row>
    <row r="27" spans="1:11" ht="15.75">
      <c r="A27" s="16"/>
      <c r="D27" s="16"/>
      <c r="E27" s="16"/>
      <c r="F27" s="16"/>
      <c r="G27" s="16"/>
      <c r="H27" s="16"/>
      <c r="K27" s="16"/>
    </row>
    <row r="28" spans="1:11" ht="15.75">
      <c r="A28" s="16"/>
      <c r="D28" s="16"/>
      <c r="E28" s="16"/>
      <c r="F28" s="16"/>
      <c r="G28" s="16"/>
      <c r="H28" s="16"/>
      <c r="K28" s="16"/>
    </row>
    <row r="29" spans="1:11" ht="15.75">
      <c r="A29" s="16"/>
      <c r="D29" s="16"/>
      <c r="E29" s="16"/>
      <c r="F29" s="16"/>
      <c r="G29" s="16"/>
      <c r="H29" s="16"/>
      <c r="K29" s="16"/>
    </row>
    <row r="30" spans="1:11" ht="15.75">
      <c r="A30" s="16"/>
      <c r="D30" s="16"/>
      <c r="E30" s="16"/>
      <c r="F30" s="16"/>
      <c r="G30" s="16"/>
      <c r="H30" s="16"/>
      <c r="K30" s="16"/>
    </row>
  </sheetData>
  <conditionalFormatting sqref="J13:J20">
    <cfRule type="containsText" dxfId="85" priority="1" operator="containsText" text="completed">
      <formula>NOT(ISERROR(SEARCH("completed",J13)))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20"/>
  <sheetViews>
    <sheetView zoomScale="52" workbookViewId="0">
      <selection activeCell="E11" sqref="E11"/>
    </sheetView>
  </sheetViews>
  <sheetFormatPr defaultRowHeight="14.25"/>
  <cols>
    <col min="2" max="2" width="13.75" customWidth="1"/>
    <col min="3" max="3" width="14.875" customWidth="1"/>
    <col min="5" max="5" width="14.5" customWidth="1"/>
    <col min="6" max="6" width="14.25" customWidth="1"/>
    <col min="9" max="9" width="14.25" customWidth="1"/>
    <col min="10" max="10" width="19" customWidth="1"/>
  </cols>
  <sheetData>
    <row r="1" spans="2:10" ht="18.75">
      <c r="B1" s="45" t="s">
        <v>100</v>
      </c>
      <c r="C1" s="45"/>
      <c r="D1" s="45"/>
      <c r="E1" s="45" t="s">
        <v>101</v>
      </c>
      <c r="F1" s="45"/>
      <c r="G1" s="46"/>
      <c r="H1" s="16"/>
      <c r="I1" s="48" t="s">
        <v>112</v>
      </c>
      <c r="J1" s="48"/>
    </row>
    <row r="2" spans="2:10" ht="15.75">
      <c r="B2" s="46"/>
      <c r="C2" s="46"/>
      <c r="D2" s="46"/>
      <c r="E2" s="46"/>
      <c r="F2" s="16"/>
      <c r="G2" s="16"/>
      <c r="H2" s="16"/>
    </row>
    <row r="3" spans="2:10" ht="63" customHeight="1">
      <c r="B3" s="34" t="s">
        <v>102</v>
      </c>
      <c r="C3" s="34" t="s">
        <v>103</v>
      </c>
      <c r="D3" s="34"/>
      <c r="E3" s="47" t="s">
        <v>65</v>
      </c>
      <c r="F3" s="47" t="s">
        <v>104</v>
      </c>
      <c r="G3" s="16"/>
      <c r="H3" s="16"/>
      <c r="I3" s="47" t="s">
        <v>114</v>
      </c>
      <c r="J3" s="47" t="s">
        <v>115</v>
      </c>
    </row>
    <row r="4" spans="2:10" ht="63" customHeight="1">
      <c r="B4" s="35" t="s">
        <v>105</v>
      </c>
      <c r="C4" s="35" t="s">
        <v>39</v>
      </c>
      <c r="D4" s="35"/>
      <c r="E4" s="35" t="s">
        <v>106</v>
      </c>
      <c r="F4" s="35">
        <v>15</v>
      </c>
      <c r="G4" s="16"/>
      <c r="H4" s="16"/>
      <c r="I4" s="35" t="s">
        <v>156</v>
      </c>
      <c r="J4" s="35" t="s">
        <v>158</v>
      </c>
    </row>
    <row r="5" spans="2:10" ht="63" customHeight="1">
      <c r="B5" s="35" t="s">
        <v>67</v>
      </c>
      <c r="C5" s="35" t="s">
        <v>155</v>
      </c>
      <c r="D5" s="35"/>
      <c r="E5" s="35" t="s">
        <v>107</v>
      </c>
      <c r="F5" s="35">
        <v>8</v>
      </c>
      <c r="G5" s="16"/>
      <c r="H5" s="16"/>
      <c r="I5" s="35" t="s">
        <v>157</v>
      </c>
      <c r="J5" s="35" t="s">
        <v>159</v>
      </c>
    </row>
    <row r="6" spans="2:10" ht="63" customHeight="1">
      <c r="B6" s="35" t="s">
        <v>21</v>
      </c>
      <c r="C6" s="35" t="s">
        <v>170</v>
      </c>
      <c r="D6" s="35"/>
      <c r="E6" s="35" t="s">
        <v>109</v>
      </c>
      <c r="F6" s="35">
        <v>4</v>
      </c>
      <c r="G6" s="16"/>
      <c r="H6" s="16"/>
      <c r="I6" s="35"/>
      <c r="J6" s="35"/>
    </row>
    <row r="7" spans="2:10" ht="31.5">
      <c r="B7" s="35" t="s">
        <v>110</v>
      </c>
      <c r="C7" s="35" t="s">
        <v>37</v>
      </c>
      <c r="D7" s="35"/>
      <c r="E7" s="35" t="s">
        <v>111</v>
      </c>
      <c r="F7" s="35">
        <v>3</v>
      </c>
      <c r="G7" s="16"/>
      <c r="H7" s="16"/>
      <c r="I7" s="35"/>
      <c r="J7" s="35"/>
    </row>
    <row r="8" spans="2:10" ht="15.75">
      <c r="B8" s="46"/>
      <c r="C8" s="46"/>
      <c r="D8" s="46"/>
      <c r="E8" s="46"/>
      <c r="F8" s="16"/>
      <c r="G8" s="16"/>
      <c r="H8" s="46"/>
      <c r="I8" s="35"/>
      <c r="J8" s="35"/>
    </row>
    <row r="9" spans="2:10" ht="15.75">
      <c r="B9" s="46"/>
      <c r="C9" s="46"/>
      <c r="D9" s="46"/>
      <c r="E9" s="46"/>
      <c r="F9" s="16"/>
      <c r="G9" s="16"/>
      <c r="H9" s="46"/>
      <c r="I9" s="46"/>
      <c r="J9" s="46"/>
    </row>
    <row r="10" spans="2:10" ht="18.75">
      <c r="B10" s="46"/>
      <c r="C10" s="46"/>
      <c r="D10" s="46"/>
      <c r="E10" s="46"/>
      <c r="F10" s="16"/>
      <c r="G10" s="16"/>
      <c r="H10" s="46"/>
      <c r="I10" s="45"/>
      <c r="J10" s="45"/>
    </row>
    <row r="11" spans="2:10" ht="15.75">
      <c r="B11" s="46" t="s">
        <v>131</v>
      </c>
      <c r="C11" s="46"/>
      <c r="D11" s="46"/>
      <c r="E11" s="48" t="s">
        <v>148</v>
      </c>
      <c r="F11" s="48"/>
      <c r="G11" s="16"/>
      <c r="H11" s="16"/>
      <c r="I11" s="46" t="s">
        <v>113</v>
      </c>
      <c r="J11" s="46"/>
    </row>
    <row r="12" spans="2:10" ht="15.75">
      <c r="B12" s="47" t="s">
        <v>47</v>
      </c>
      <c r="C12" s="47" t="s">
        <v>133</v>
      </c>
      <c r="D12" s="46"/>
      <c r="E12" s="47" t="s">
        <v>65</v>
      </c>
      <c r="F12" s="47" t="s">
        <v>66</v>
      </c>
      <c r="G12" s="16"/>
      <c r="H12" s="16"/>
      <c r="I12" s="34" t="s">
        <v>72</v>
      </c>
      <c r="J12" s="34" t="s">
        <v>32</v>
      </c>
    </row>
    <row r="13" spans="2:10" ht="90.75" customHeight="1">
      <c r="B13" s="51" t="s">
        <v>161</v>
      </c>
      <c r="C13" s="51" t="s">
        <v>160</v>
      </c>
      <c r="D13" s="46"/>
      <c r="E13" s="35" t="s">
        <v>118</v>
      </c>
      <c r="F13" s="35">
        <v>75</v>
      </c>
      <c r="G13" s="16"/>
      <c r="H13" s="16"/>
      <c r="I13" s="35" t="s">
        <v>163</v>
      </c>
      <c r="J13" s="35" t="s">
        <v>122</v>
      </c>
    </row>
    <row r="14" spans="2:10" ht="64.5" customHeight="1">
      <c r="B14" s="51" t="s">
        <v>141</v>
      </c>
      <c r="C14" s="51" t="s">
        <v>136</v>
      </c>
      <c r="D14" s="46"/>
      <c r="E14" s="35" t="s">
        <v>120</v>
      </c>
      <c r="F14" s="35">
        <v>73</v>
      </c>
      <c r="G14" s="16"/>
      <c r="H14" s="16"/>
      <c r="I14" s="35" t="s">
        <v>164</v>
      </c>
      <c r="J14" s="35" t="s">
        <v>122</v>
      </c>
    </row>
    <row r="15" spans="2:10" ht="69" customHeight="1">
      <c r="B15" s="35" t="s">
        <v>139</v>
      </c>
      <c r="C15" s="35" t="s">
        <v>162</v>
      </c>
      <c r="D15" s="46"/>
      <c r="E15" s="35" t="s">
        <v>124</v>
      </c>
      <c r="F15" s="35">
        <v>2</v>
      </c>
      <c r="G15" s="16"/>
      <c r="H15" s="16"/>
      <c r="I15" s="35" t="s">
        <v>165</v>
      </c>
      <c r="J15" s="52" t="s">
        <v>40</v>
      </c>
    </row>
    <row r="16" spans="2:10" ht="60" customHeight="1">
      <c r="B16" s="35"/>
      <c r="C16" s="35"/>
      <c r="D16" s="46"/>
      <c r="E16" s="35" t="s">
        <v>126</v>
      </c>
      <c r="F16" s="49">
        <v>0.97</v>
      </c>
      <c r="G16" s="16"/>
      <c r="H16" s="16"/>
      <c r="I16" s="35" t="s">
        <v>166</v>
      </c>
      <c r="J16" s="52" t="s">
        <v>40</v>
      </c>
    </row>
    <row r="17" spans="4:10" ht="62.25" customHeight="1">
      <c r="D17" s="46"/>
      <c r="E17" s="46"/>
      <c r="F17" s="46"/>
      <c r="G17" s="46"/>
      <c r="H17" s="16"/>
      <c r="I17" s="35" t="s">
        <v>167</v>
      </c>
      <c r="J17" s="52" t="s">
        <v>40</v>
      </c>
    </row>
    <row r="18" spans="4:10" ht="61.5" customHeight="1">
      <c r="D18" s="46"/>
      <c r="E18" s="46"/>
      <c r="F18" s="46"/>
      <c r="G18" s="46"/>
      <c r="H18" s="16"/>
      <c r="I18" s="35" t="s">
        <v>168</v>
      </c>
      <c r="J18" s="52" t="s">
        <v>40</v>
      </c>
    </row>
    <row r="19" spans="4:10" ht="78.75">
      <c r="D19" s="46"/>
      <c r="E19" s="46"/>
      <c r="F19" s="46"/>
      <c r="G19" s="46"/>
      <c r="H19" s="16"/>
      <c r="I19" s="35" t="s">
        <v>169</v>
      </c>
      <c r="J19" s="53" t="s">
        <v>42</v>
      </c>
    </row>
    <row r="20" spans="4:10" ht="15.75">
      <c r="D20" s="16"/>
      <c r="E20" s="46"/>
      <c r="F20" s="16"/>
      <c r="G20" s="16"/>
      <c r="H20" s="16"/>
      <c r="I20" s="16"/>
      <c r="J20" s="16"/>
    </row>
  </sheetData>
  <phoneticPr fontId="13" type="noConversion"/>
  <conditionalFormatting sqref="J12:J19">
    <cfRule type="containsText" dxfId="57" priority="2" operator="containsText" text="completed">
      <formula>NOT(ISERROR(SEARCH("completed",J12)))</formula>
    </cfRule>
  </conditionalFormatting>
  <conditionalFormatting sqref="J15">
    <cfRule type="cellIs" dxfId="56" priority="1" operator="equal">
      <formula>"J15"</formula>
    </cfRule>
  </conditionalFormatting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tabSelected="1" workbookViewId="0">
      <selection activeCell="J6" sqref="J6"/>
    </sheetView>
  </sheetViews>
  <sheetFormatPr defaultRowHeight="14.25"/>
  <cols>
    <col min="2" max="2" width="13.75" customWidth="1"/>
    <col min="3" max="3" width="14.875" customWidth="1"/>
    <col min="5" max="5" width="14.5" customWidth="1"/>
    <col min="6" max="6" width="14.25" customWidth="1"/>
    <col min="9" max="9" width="14.25" customWidth="1"/>
    <col min="10" max="10" width="19" customWidth="1"/>
  </cols>
  <sheetData>
    <row r="1" spans="2:10" ht="18.75">
      <c r="B1" s="45" t="s">
        <v>100</v>
      </c>
      <c r="C1" s="45"/>
      <c r="D1" s="45"/>
      <c r="E1" s="45" t="s">
        <v>101</v>
      </c>
      <c r="F1" s="45"/>
      <c r="G1" s="46"/>
      <c r="H1" s="16"/>
      <c r="I1" s="48" t="s">
        <v>112</v>
      </c>
      <c r="J1" s="48"/>
    </row>
    <row r="2" spans="2:10" ht="15.75">
      <c r="B2" s="46"/>
      <c r="C2" s="46"/>
      <c r="D2" s="46"/>
      <c r="E2" s="46"/>
      <c r="F2" s="16"/>
      <c r="G2" s="16"/>
      <c r="H2" s="16"/>
    </row>
    <row r="3" spans="2:10" ht="63" customHeight="1">
      <c r="B3" s="34" t="s">
        <v>102</v>
      </c>
      <c r="C3" s="34" t="s">
        <v>103</v>
      </c>
      <c r="D3" s="34"/>
      <c r="E3" s="47" t="s">
        <v>65</v>
      </c>
      <c r="F3" s="47" t="s">
        <v>104</v>
      </c>
      <c r="G3" s="16"/>
      <c r="H3" s="16"/>
      <c r="I3" s="47" t="s">
        <v>114</v>
      </c>
      <c r="J3" s="47" t="s">
        <v>115</v>
      </c>
    </row>
    <row r="4" spans="2:10" ht="63" customHeight="1">
      <c r="B4" s="35" t="s">
        <v>105</v>
      </c>
      <c r="C4" s="35" t="s">
        <v>41</v>
      </c>
      <c r="D4" s="35"/>
      <c r="E4" s="35" t="s">
        <v>106</v>
      </c>
      <c r="F4" s="35">
        <v>15</v>
      </c>
      <c r="G4" s="16"/>
      <c r="H4" s="16"/>
      <c r="I4" s="35" t="s">
        <v>180</v>
      </c>
      <c r="J4" s="35" t="s">
        <v>179</v>
      </c>
    </row>
    <row r="5" spans="2:10" ht="63" customHeight="1">
      <c r="B5" s="35" t="s">
        <v>67</v>
      </c>
      <c r="C5" s="35" t="s">
        <v>175</v>
      </c>
      <c r="D5" s="35"/>
      <c r="E5" s="35" t="s">
        <v>107</v>
      </c>
      <c r="F5" s="35">
        <v>9</v>
      </c>
      <c r="G5" s="16"/>
      <c r="H5" s="16"/>
      <c r="I5" s="35" t="s">
        <v>181</v>
      </c>
      <c r="J5" s="35" t="s">
        <v>182</v>
      </c>
    </row>
    <row r="6" spans="2:10" ht="63" customHeight="1">
      <c r="B6" s="35" t="s">
        <v>21</v>
      </c>
      <c r="C6" s="35" t="s">
        <v>172</v>
      </c>
      <c r="D6" s="35"/>
      <c r="E6" s="35" t="s">
        <v>109</v>
      </c>
      <c r="F6" s="35">
        <v>4</v>
      </c>
      <c r="G6" s="16"/>
      <c r="H6" s="16"/>
      <c r="I6" s="35"/>
      <c r="J6" s="35"/>
    </row>
    <row r="7" spans="2:10" ht="15.75">
      <c r="B7" s="35" t="s">
        <v>110</v>
      </c>
      <c r="C7" s="35" t="s">
        <v>37</v>
      </c>
      <c r="D7" s="35"/>
      <c r="E7" s="35" t="s">
        <v>111</v>
      </c>
      <c r="F7" s="35">
        <v>3</v>
      </c>
      <c r="G7" s="16"/>
      <c r="H7" s="16"/>
      <c r="I7" s="35"/>
      <c r="J7" s="35"/>
    </row>
    <row r="8" spans="2:10" ht="15.75">
      <c r="B8" s="46"/>
      <c r="C8" s="46"/>
      <c r="D8" s="46"/>
      <c r="E8" s="46"/>
      <c r="F8" s="16"/>
      <c r="G8" s="16"/>
      <c r="H8" s="46"/>
      <c r="I8" s="35"/>
      <c r="J8" s="35"/>
    </row>
    <row r="9" spans="2:10" ht="15.75">
      <c r="B9" s="46"/>
      <c r="C9" s="46"/>
      <c r="D9" s="46"/>
      <c r="E9" s="46"/>
      <c r="F9" s="16"/>
      <c r="G9" s="16"/>
      <c r="H9" s="46"/>
      <c r="I9" s="46"/>
      <c r="J9" s="46"/>
    </row>
    <row r="10" spans="2:10" ht="18.75">
      <c r="B10" s="46"/>
      <c r="C10" s="46"/>
      <c r="D10" s="46"/>
      <c r="E10" s="46"/>
      <c r="F10" s="16"/>
      <c r="G10" s="16"/>
      <c r="H10" s="46"/>
      <c r="I10" s="45"/>
      <c r="J10" s="45"/>
    </row>
    <row r="11" spans="2:10" ht="15.75">
      <c r="B11" s="46" t="s">
        <v>131</v>
      </c>
      <c r="C11" s="46"/>
      <c r="D11" s="46"/>
      <c r="E11" s="48" t="s">
        <v>148</v>
      </c>
      <c r="F11" s="48"/>
      <c r="G11" s="16"/>
      <c r="H11" s="16"/>
      <c r="I11" s="46" t="s">
        <v>113</v>
      </c>
      <c r="J11" s="46"/>
    </row>
    <row r="12" spans="2:10" ht="15.75">
      <c r="B12" s="47" t="s">
        <v>47</v>
      </c>
      <c r="C12" s="47" t="s">
        <v>133</v>
      </c>
      <c r="D12" s="46"/>
      <c r="E12" s="47" t="s">
        <v>65</v>
      </c>
      <c r="F12" s="47" t="s">
        <v>66</v>
      </c>
      <c r="G12" s="16"/>
      <c r="H12" s="16"/>
      <c r="I12" s="34" t="s">
        <v>72</v>
      </c>
      <c r="J12" s="34" t="s">
        <v>32</v>
      </c>
    </row>
    <row r="13" spans="2:10" ht="90.75" customHeight="1">
      <c r="B13" s="51" t="s">
        <v>161</v>
      </c>
      <c r="C13" s="51" t="s">
        <v>176</v>
      </c>
      <c r="D13" s="46"/>
      <c r="E13" s="35" t="s">
        <v>118</v>
      </c>
      <c r="F13" s="35">
        <v>75</v>
      </c>
      <c r="G13" s="16"/>
      <c r="H13" s="16"/>
      <c r="I13" s="35" t="s">
        <v>163</v>
      </c>
      <c r="J13" s="35" t="s">
        <v>122</v>
      </c>
    </row>
    <row r="14" spans="2:10" ht="64.5" customHeight="1">
      <c r="B14" s="35" t="s">
        <v>139</v>
      </c>
      <c r="C14" s="35" t="s">
        <v>162</v>
      </c>
      <c r="D14" s="46"/>
      <c r="E14" s="35" t="s">
        <v>120</v>
      </c>
      <c r="F14" s="35">
        <v>73</v>
      </c>
      <c r="G14" s="16"/>
      <c r="H14" s="16"/>
      <c r="I14" s="35" t="s">
        <v>164</v>
      </c>
      <c r="J14" s="35" t="s">
        <v>122</v>
      </c>
    </row>
    <row r="15" spans="2:10" ht="69" customHeight="1">
      <c r="B15" s="35"/>
      <c r="C15" s="35"/>
      <c r="D15" s="46"/>
      <c r="E15" s="35" t="s">
        <v>124</v>
      </c>
      <c r="F15" s="35">
        <v>2</v>
      </c>
      <c r="G15" s="16"/>
      <c r="H15" s="16"/>
      <c r="I15" s="35" t="s">
        <v>165</v>
      </c>
      <c r="J15" s="52" t="s">
        <v>171</v>
      </c>
    </row>
    <row r="16" spans="2:10" ht="60" customHeight="1">
      <c r="D16" s="46"/>
      <c r="E16" s="35" t="s">
        <v>126</v>
      </c>
      <c r="F16" s="49">
        <v>0.97</v>
      </c>
      <c r="G16" s="16"/>
      <c r="H16" s="16"/>
      <c r="I16" s="35" t="s">
        <v>166</v>
      </c>
      <c r="J16" s="52" t="s">
        <v>171</v>
      </c>
    </row>
    <row r="17" spans="4:10" ht="62.25" customHeight="1">
      <c r="D17" s="46"/>
      <c r="E17" s="46"/>
      <c r="F17" s="46"/>
      <c r="G17" s="46"/>
      <c r="H17" s="16"/>
      <c r="I17" s="35" t="s">
        <v>167</v>
      </c>
      <c r="J17" s="52" t="s">
        <v>171</v>
      </c>
    </row>
    <row r="18" spans="4:10" ht="61.5" customHeight="1">
      <c r="D18" s="46"/>
      <c r="E18" s="46"/>
      <c r="F18" s="46"/>
      <c r="G18" s="46"/>
      <c r="H18" s="16"/>
      <c r="I18" s="35" t="s">
        <v>168</v>
      </c>
      <c r="J18" s="52" t="s">
        <v>40</v>
      </c>
    </row>
    <row r="19" spans="4:10" ht="15.75">
      <c r="D19" s="46"/>
      <c r="E19" s="46"/>
      <c r="F19" s="46"/>
      <c r="G19" s="46"/>
      <c r="H19" s="16"/>
      <c r="I19" s="35" t="s">
        <v>174</v>
      </c>
      <c r="J19" s="53" t="s">
        <v>42</v>
      </c>
    </row>
    <row r="20" spans="4:10" ht="15.75">
      <c r="D20" s="16"/>
      <c r="E20" s="46"/>
      <c r="F20" s="16"/>
      <c r="G20" s="16"/>
      <c r="H20" s="16"/>
      <c r="I20" s="24" t="s">
        <v>173</v>
      </c>
      <c r="J20" s="53" t="s">
        <v>42</v>
      </c>
    </row>
  </sheetData>
  <conditionalFormatting sqref="J12:J20">
    <cfRule type="containsText" dxfId="28" priority="2" operator="containsText" text="completed">
      <formula>NOT(ISERROR(SEARCH("completed",J12)))</formula>
    </cfRule>
  </conditionalFormatting>
  <conditionalFormatting sqref="J15">
    <cfRule type="cellIs" dxfId="27" priority="1" operator="equal">
      <formula>"J15"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 RAM CHARAN</dc:creator>
  <cp:lastModifiedBy>BVRIT</cp:lastModifiedBy>
  <dcterms:created xsi:type="dcterms:W3CDTF">2026-06-22T15:21:44Z</dcterms:created>
  <dcterms:modified xsi:type="dcterms:W3CDTF">2026-08-11T08:55:14Z</dcterms:modified>
</cp:coreProperties>
</file>